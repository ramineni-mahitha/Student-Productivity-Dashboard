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6956a203eac9d0/Documents/"/>
    </mc:Choice>
  </mc:AlternateContent>
  <xr:revisionPtr revIDLastSave="1113" documentId="8_{26D149E4-7AEB-4BFE-9B8E-A3D62150F5C1}" xr6:coauthVersionLast="47" xr6:coauthVersionMax="47" xr10:uidLastSave="{DC8D80B7-6CA1-4A5B-A7CE-642F21AAC9E6}"/>
  <bookViews>
    <workbookView xWindow="-108" yWindow="-108" windowWidth="23256" windowHeight="12456" activeTab="4" xr2:uid="{699C262C-509A-4B2D-A9D3-B296C2E4EAC2}"/>
  </bookViews>
  <sheets>
    <sheet name="Dashboard" sheetId="1" r:id="rId1"/>
    <sheet name="Study Planner" sheetId="2" r:id="rId2"/>
    <sheet name="Task Tracker" sheetId="3" r:id="rId3"/>
    <sheet name="Coding Tracker" sheetId="4" r:id="rId4"/>
    <sheet name="Placement Track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N13" i="1" s="1"/>
  <c r="J5" i="1"/>
  <c r="O13" i="1" s="1"/>
  <c r="I5" i="1"/>
  <c r="M13" i="1" s="1"/>
  <c r="H5" i="1"/>
  <c r="L13" i="1" s="1"/>
  <c r="J5" i="3"/>
  <c r="L8" i="5"/>
  <c r="L7" i="5"/>
  <c r="L6" i="5"/>
  <c r="L5" i="5"/>
  <c r="L5" i="4"/>
  <c r="L6" i="4"/>
  <c r="L7" i="4"/>
  <c r="L8" i="4"/>
  <c r="L9" i="4"/>
  <c r="L10" i="4"/>
  <c r="L11" i="4"/>
  <c r="J7" i="3"/>
  <c r="J6" i="3"/>
</calcChain>
</file>

<file path=xl/sharedStrings.xml><?xml version="1.0" encoding="utf-8"?>
<sst xmlns="http://schemas.openxmlformats.org/spreadsheetml/2006/main" count="272" uniqueCount="123">
  <si>
    <t>Date</t>
  </si>
  <si>
    <t>Subject</t>
  </si>
  <si>
    <t>Topic</t>
  </si>
  <si>
    <t>Actual Hours</t>
  </si>
  <si>
    <t>Status</t>
  </si>
  <si>
    <r>
      <t xml:space="preserve"> </t>
    </r>
    <r>
      <rPr>
        <b/>
        <sz val="16"/>
        <color theme="1"/>
        <rFont val="Aptos Narrow"/>
        <family val="2"/>
        <scheme val="minor"/>
      </rPr>
      <t>Planned Hours</t>
    </r>
  </si>
  <si>
    <t>Python</t>
  </si>
  <si>
    <t>Aptitude</t>
  </si>
  <si>
    <t>Generative AI</t>
  </si>
  <si>
    <t>Java</t>
  </si>
  <si>
    <t>SQL</t>
  </si>
  <si>
    <t>Functions</t>
  </si>
  <si>
    <t>Percentages</t>
  </si>
  <si>
    <t>Threads</t>
  </si>
  <si>
    <t>Joins</t>
  </si>
  <si>
    <t>Models</t>
  </si>
  <si>
    <t>Pending</t>
  </si>
  <si>
    <t>Completed</t>
  </si>
  <si>
    <t>Task</t>
  </si>
  <si>
    <t>Category</t>
  </si>
  <si>
    <t>Deadline</t>
  </si>
  <si>
    <t>Priority</t>
  </si>
  <si>
    <t>Revise SQL queries</t>
  </si>
  <si>
    <t>Complete Mini Project</t>
  </si>
  <si>
    <t>Update Linkedin Profile</t>
  </si>
  <si>
    <t>Coding</t>
  </si>
  <si>
    <t>Learning</t>
  </si>
  <si>
    <t>Project</t>
  </si>
  <si>
    <t>Career</t>
  </si>
  <si>
    <t>High</t>
  </si>
  <si>
    <t>Medium</t>
  </si>
  <si>
    <t>Low</t>
  </si>
  <si>
    <t>In Progress</t>
  </si>
  <si>
    <t>Complete Python Exercise</t>
  </si>
  <si>
    <t>Task Status Summary</t>
  </si>
  <si>
    <t>Count</t>
  </si>
  <si>
    <t>Complete Excel Project</t>
  </si>
  <si>
    <t>Platform</t>
  </si>
  <si>
    <t>Problem Name</t>
  </si>
  <si>
    <t>Difficulty</t>
  </si>
  <si>
    <t>Time Taken</t>
  </si>
  <si>
    <t>Hacker Rank</t>
  </si>
  <si>
    <t>Leet Code</t>
  </si>
  <si>
    <t>My Sql</t>
  </si>
  <si>
    <t>Arrays</t>
  </si>
  <si>
    <t>Strings</t>
  </si>
  <si>
    <t>Hello World</t>
  </si>
  <si>
    <t>Two sum</t>
  </si>
  <si>
    <t>Select All</t>
  </si>
  <si>
    <t>Reverse String</t>
  </si>
  <si>
    <t>Concatenation</t>
  </si>
  <si>
    <t>Easy</t>
  </si>
  <si>
    <t>30min</t>
  </si>
  <si>
    <t>1hr</t>
  </si>
  <si>
    <t>2hrs</t>
  </si>
  <si>
    <t>W3 Schools</t>
  </si>
  <si>
    <t>Html</t>
  </si>
  <si>
    <t>Designing web</t>
  </si>
  <si>
    <t>Hard</t>
  </si>
  <si>
    <t>2hrs+</t>
  </si>
  <si>
    <t>Google Colab</t>
  </si>
  <si>
    <t>Machine Learning</t>
  </si>
  <si>
    <t>Regression</t>
  </si>
  <si>
    <t>Coding Statistics</t>
  </si>
  <si>
    <t>Total Problems</t>
  </si>
  <si>
    <t>Easy Problems</t>
  </si>
  <si>
    <t>Medium Problems</t>
  </si>
  <si>
    <t>Hard Problems</t>
  </si>
  <si>
    <t>GeeksforGeeks</t>
  </si>
  <si>
    <t>Reversing</t>
  </si>
  <si>
    <t xml:space="preserve">Company </t>
  </si>
  <si>
    <t>Application Date</t>
  </si>
  <si>
    <t>Notes</t>
  </si>
  <si>
    <t>Software Developer</t>
  </si>
  <si>
    <t>Role in the Company</t>
  </si>
  <si>
    <t xml:space="preserve">Skills to learn </t>
  </si>
  <si>
    <t>Not Started</t>
  </si>
  <si>
    <t>Prepare Coding Basics</t>
  </si>
  <si>
    <t>-</t>
  </si>
  <si>
    <t>Python, DSA</t>
  </si>
  <si>
    <t>TCS</t>
  </si>
  <si>
    <t>Infosys</t>
  </si>
  <si>
    <t>Systems Engineer</t>
  </si>
  <si>
    <t>Python,SQL</t>
  </si>
  <si>
    <t>Practise Aptitude and Coding</t>
  </si>
  <si>
    <t>Wipro</t>
  </si>
  <si>
    <t>Project Engineer</t>
  </si>
  <si>
    <t>Java/Python</t>
  </si>
  <si>
    <t>Build Programming Skills</t>
  </si>
  <si>
    <t>Tech Mahindra</t>
  </si>
  <si>
    <t>Software Engineer</t>
  </si>
  <si>
    <t>Preparing</t>
  </si>
  <si>
    <t>Build a Project Portfolio</t>
  </si>
  <si>
    <t>Deloitte</t>
  </si>
  <si>
    <t>Analyst</t>
  </si>
  <si>
    <t>Build Analytics Project</t>
  </si>
  <si>
    <t>SQL,Python,
Excel,
Communication</t>
  </si>
  <si>
    <t>Placement Summary</t>
  </si>
  <si>
    <t>Total Companies</t>
  </si>
  <si>
    <t>S.NO</t>
  </si>
  <si>
    <t>High Priority</t>
  </si>
  <si>
    <t>Total Tasks</t>
  </si>
  <si>
    <t>Tasks Completed</t>
  </si>
  <si>
    <t>Coding Problems</t>
  </si>
  <si>
    <t>Placement Companies</t>
  </si>
  <si>
    <t>Name</t>
  </si>
  <si>
    <t>Degree</t>
  </si>
  <si>
    <t>College</t>
  </si>
  <si>
    <t>Graduation Year</t>
  </si>
  <si>
    <t>Career Goal</t>
  </si>
  <si>
    <t>Details</t>
  </si>
  <si>
    <t xml:space="preserve">Information </t>
  </si>
  <si>
    <t>Ramineni Mahitha</t>
  </si>
  <si>
    <t>B.Tech CSE(AIML)</t>
  </si>
  <si>
    <t>SRK Institute of Technology</t>
  </si>
  <si>
    <t>STUDENT PROFILE 
Productivity &amp; Placement Dashboard</t>
  </si>
  <si>
    <t xml:space="preserve">Work on 
Internship Project
</t>
  </si>
  <si>
    <t>Student Productivity and Dashboard</t>
  </si>
  <si>
    <t>TOTAL TASKS</t>
  </si>
  <si>
    <t>TASKS COMPLETED</t>
  </si>
  <si>
    <t>PLACEMENT COMPANIES</t>
  </si>
  <si>
    <t>CODING PROBLEMS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</si>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</sst>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Bahnschrift Condensed"/>
      <family val="2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Calisto MT"/>
      <family val="1"/>
    </font>
    <font>
      <sz val="20"/>
      <color theme="1"/>
      <name val="Arial Black"/>
      <family val="2"/>
    </font>
    <font>
      <sz val="11"/>
      <color theme="2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8" borderId="1" applyNumberFormat="0" applyAlignment="0" applyProtection="0"/>
  </cellStyleXfs>
  <cellXfs count="6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10" fontId="6" fillId="0" borderId="0" xfId="0" applyNumberFormat="1" applyFont="1"/>
    <xf numFmtId="0" fontId="6" fillId="7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10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/>
    </xf>
    <xf numFmtId="14" fontId="1" fillId="10" borderId="0" xfId="0" applyNumberFormat="1" applyFont="1" applyFill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7" fillId="8" borderId="1" xfId="1"/>
    <xf numFmtId="0" fontId="7" fillId="8" borderId="1" xfId="1" applyAlignment="1">
      <alignment horizontal="center" vertical="center"/>
    </xf>
    <xf numFmtId="0" fontId="7" fillId="8" borderId="1" xfId="1" applyAlignment="1">
      <alignment horizontal="left" vertical="center"/>
    </xf>
    <xf numFmtId="0" fontId="7" fillId="8" borderId="1" xfId="1" applyAlignment="1">
      <alignment vertical="center"/>
    </xf>
    <xf numFmtId="0" fontId="7" fillId="8" borderId="1" xfId="1" applyAlignment="1">
      <alignment horizontal="center"/>
    </xf>
    <xf numFmtId="0" fontId="7" fillId="8" borderId="1" xfId="1" applyAlignment="1">
      <alignment vertical="top" wrapText="1"/>
    </xf>
    <xf numFmtId="0" fontId="7" fillId="8" borderId="1" xfId="1" applyAlignment="1">
      <alignment horizontal="center" vertical="center" wrapText="1"/>
    </xf>
    <xf numFmtId="0" fontId="0" fillId="11" borderId="0" xfId="0" applyFill="1"/>
    <xf numFmtId="0" fontId="2" fillId="11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2" fillId="13" borderId="0" xfId="0" applyFont="1" applyFill="1" applyAlignment="1">
      <alignment vertical="top"/>
    </xf>
    <xf numFmtId="0" fontId="2" fillId="13" borderId="0" xfId="0" applyFont="1" applyFill="1" applyAlignment="1">
      <alignment horizontal="center" vertical="top"/>
    </xf>
    <xf numFmtId="0" fontId="9" fillId="14" borderId="0" xfId="0" applyFont="1" applyFill="1"/>
    <xf numFmtId="0" fontId="8" fillId="4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horizontal="center" vertical="center"/>
    </xf>
    <xf numFmtId="14" fontId="1" fillId="10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top"/>
    </xf>
    <xf numFmtId="14" fontId="2" fillId="10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vertical="center"/>
    </xf>
    <xf numFmtId="0" fontId="10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12" borderId="3" xfId="0" applyFont="1" applyFill="1" applyBorder="1"/>
    <xf numFmtId="0" fontId="2" fillId="4" borderId="4" xfId="0" applyFont="1" applyFill="1" applyBorder="1"/>
    <xf numFmtId="0" fontId="2" fillId="16" borderId="0" xfId="0" applyFont="1" applyFill="1"/>
    <xf numFmtId="0" fontId="2" fillId="17" borderId="0" xfId="0" applyFont="1" applyFill="1"/>
  </cellXfs>
  <cellStyles count="2">
    <cellStyle name="Normal" xfId="0" builtinId="0"/>
    <cellStyle name="Output" xfId="1" builtinId="21"/>
  </cellStyles>
  <dxfs count="2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Task Status Distribution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BF-42BF-8CE9-400F8F05EB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BF-42BF-8CE9-400F8F05EB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BF-42BF-8CE9-400F8F05EB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BF-42BF-8CE9-400F8F05EB7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'Task Tracker'!$I$5:$I$7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In Progress</c:v>
                </c:pt>
              </c:strCache>
            </c:strRef>
          </c:cat>
          <c:val>
            <c:numRef>
              <c:f>'Task Tracker'!$J$5:$J$7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1-4865-87DB-86D22611B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Problem</a:t>
            </a:r>
            <a:r>
              <a:rPr lang="en-IN" baseline="0"/>
              <a:t> Difficulty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'Coding Tracker'!$K$9:$K$11</c:f>
              <c:strCache>
                <c:ptCount val="3"/>
                <c:pt idx="0">
                  <c:v>Easy Problems</c:v>
                </c:pt>
                <c:pt idx="1">
                  <c:v>Medium Problems</c:v>
                </c:pt>
                <c:pt idx="2">
                  <c:v>Hard Problems</c:v>
                </c:pt>
              </c:strCache>
            </c:strRef>
          </c:cat>
          <c:val>
            <c:numRef>
              <c:f>'Coding Tracker'!$L$9:$L$11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2-4CBE-A027-21EE4ACC7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7603712"/>
        <c:axId val="2020615792"/>
        <c:axId val="0"/>
      </c:bar3DChart>
      <c:catAx>
        <c:axId val="3376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615792"/>
        <c:crosses val="autoZero"/>
        <c:auto val="1"/>
        <c:lblAlgn val="ctr"/>
        <c:lblOffset val="100"/>
        <c:noMultiLvlLbl val="0"/>
      </c:catAx>
      <c:valAx>
        <c:axId val="20206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0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summary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589848940202486E-2"/>
          <c:y val="0.25439840095147004"/>
          <c:w val="0.92317353863836316"/>
          <c:h val="0.7358483526770269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BC-4B83-AB07-5251CCF6D0BD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CBC-4B83-AB07-5251CCF6D0BD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BC-4B83-AB07-5251CCF6D0BD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CBC-4B83-AB07-5251CCF6D0BD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BC-4B83-AB07-5251CCF6D0BD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CBC-4B83-AB07-5251CCF6D0BD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CBC-4B83-AB07-5251CCF6D0BD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CBC-4B83-AB07-5251CCF6D0BD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'Coding Tracker'!$K$5:$K$8</c:f>
              <c:strCache>
                <c:ptCount val="4"/>
                <c:pt idx="0">
                  <c:v>Total Problems</c:v>
                </c:pt>
                <c:pt idx="1">
                  <c:v>Completed</c:v>
                </c:pt>
                <c:pt idx="2">
                  <c:v>In Progress</c:v>
                </c:pt>
                <c:pt idx="3">
                  <c:v>Pending</c:v>
                </c:pt>
              </c:strCache>
            </c:strRef>
          </c:cat>
          <c:val>
            <c:numRef>
              <c:f>'Coding Tracker'!$L$5:$L$8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C-4B83-AB07-5251CCF6D0B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br>
              <a:rPr lang="en-US"/>
            </a:br>
            <a:r>
              <a:rPr lang="en-US"/>
              <a:t>Placement</a:t>
            </a:r>
            <a:r>
              <a:rPr lang="en-US" baseline="0"/>
              <a:t> Preparation progress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'Placement Tracker'!$K$5:$K$8</c:f>
              <c:strCache>
                <c:ptCount val="4"/>
                <c:pt idx="0">
                  <c:v>Total Companies</c:v>
                </c:pt>
                <c:pt idx="1">
                  <c:v>Preparing</c:v>
                </c:pt>
                <c:pt idx="2">
                  <c:v>Not Started</c:v>
                </c:pt>
                <c:pt idx="3">
                  <c:v>High Priority</c:v>
                </c:pt>
              </c:strCache>
            </c:strRef>
          </c:cat>
          <c:val>
            <c:numRef>
              <c:f>'Placement Tracker'!$L$5:$L$8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5-4236-BB7E-0A718A43F436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</c:dLbls>
        <c:gapWidth val="79"/>
        <c:overlap val="100"/>
        <c:axId val="280816079"/>
        <c:axId val="280816559"/>
      </c:barChart>
      <c:catAx>
        <c:axId val="2808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16559"/>
        <c:crosses val="autoZero"/>
        <c:auto val="1"/>
        <c:lblAlgn val="ctr"/>
        <c:lblOffset val="100"/>
        <c:noMultiLvlLbl val="0"/>
      </c:catAx>
      <c:valAx>
        <c:axId val="280816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081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81642</xdr:colOff>
      <xdr:row>2</xdr:row>
      <xdr:rowOff>129268</xdr:rowOff>
    </xdr:from>
    <xdr:to>
      <xdr:col>19</xdr:col>
      <xdr:colOff>13606</xdr:colOff>
      <xdr:row>10</xdr:row>
      <xdr:rowOff>88446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A44D14-56E5-21E2-8995-0538B8D81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382818</xdr:colOff>
      <xdr:row>12</xdr:row>
      <xdr:rowOff>62754</xdr:rowOff>
    </xdr:from>
    <xdr:to>
      <xdr:col>11</xdr:col>
      <xdr:colOff>833719</xdr:colOff>
      <xdr:row>25</xdr:row>
      <xdr:rowOff>100672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6D749C-6C3F-3F58-7C75-FFA67A392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319217</xdr:colOff>
      <xdr:row>1</xdr:row>
      <xdr:rowOff>164757</xdr:rowOff>
    </xdr:from>
    <xdr:to>
      <xdr:col>19</xdr:col>
      <xdr:colOff>216921</xdr:colOff>
      <xdr:row>14</xdr:row>
      <xdr:rowOff>37341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AF898B-C0B0-6F54-DF42-869FC7BC9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70884</xdr:colOff>
      <xdr:row>2</xdr:row>
      <xdr:rowOff>265814</xdr:rowOff>
    </xdr:from>
    <xdr:to>
      <xdr:col>20</xdr:col>
      <xdr:colOff>558926</xdr:colOff>
      <xdr:row>19</xdr:row>
      <xdr:rowOff>53163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4258B-D119-B136-D1C9-55D43C2E1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087BE-9365-4D9B-8759-25724D7905AE}" name="Table2" displayName="Table2" ref="C2:H95" totalsRowShown="0" headerRowDxfId="22">
  <autoFilter ref="C2:H95" xr:uid="{00C087BE-9365-4D9B-8759-25724D7905AE}"/>
  <tableColumns count="6">
    <tableColumn id="1" xr3:uid="{422608AF-8D0F-4E57-A239-23BD9B8F303D}" name="Date" dataDxfId="21"/>
    <tableColumn id="2" xr3:uid="{D2BCCA12-C396-418A-90CD-6591E7504E18}" name="Subject"/>
    <tableColumn id="3" xr3:uid="{FAF64D73-AA18-4635-A584-38ECF8FADA57}" name="Topic"/>
    <tableColumn id="4" xr3:uid="{72E0B50A-FDF4-4F61-AA8E-974E9E944AC8}" name=" Planned Hours"/>
    <tableColumn id="5" xr3:uid="{208BD6A6-CB6B-47BA-8A6A-F2D31E55845B}" name="Actual Hours"/>
    <tableColumn id="6" xr3:uid="{823FFF46-9796-4DAC-9F85-7936AE60A0F2}" name="Status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7C4A6-4358-4D3D-BD5D-CAEB7803CA77}" name="Table1" displayName="Table1" ref="C3:I20" totalsRowShown="0" headerRowDxfId="20" dataDxfId="19">
  <autoFilter ref="C3:I20" xr:uid="{4697C4A6-4358-4D3D-BD5D-CAEB7803CA77}"/>
  <tableColumns count="7">
    <tableColumn id="1" xr3:uid="{1873802F-2391-44B7-B757-CB2F79DDD3CD}" name="Date" dataDxfId="18"/>
    <tableColumn id="2" xr3:uid="{3899FFC7-6719-4660-A856-32B45495342F}" name="Platform" dataDxfId="17"/>
    <tableColumn id="3" xr3:uid="{AA053D1B-8518-4D38-9EC0-3EAC44A1EA58}" name="Topic" dataDxfId="16"/>
    <tableColumn id="4" xr3:uid="{7867EB21-A5E3-4DF7-B52D-7829D7B52402}" name="Problem Name" dataDxfId="15"/>
    <tableColumn id="5" xr3:uid="{92B334D4-68AC-4713-B764-573C5821463C}" name="Difficulty" dataDxfId="14"/>
    <tableColumn id="6" xr3:uid="{FDCB0703-513C-4068-94A0-BE54E2EFEBA6}" name="Status" dataDxfId="13"/>
    <tableColumn id="7" xr3:uid="{C9A77BDB-C272-42A8-8A99-1FB4F2423FC9}" name="Time Taken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8E01-037E-47D6-ABB7-17CCF7448433}">
  <sheetPr>
    <pageSetUpPr autoPageBreaks="0"/>
  </sheetPr>
  <dimension ref="A1:AH16"/>
  <sheetViews>
    <sheetView topLeftCell="G1" zoomScale="73" zoomScaleNormal="73" zoomScaleSheetLayoutView="48" workbookViewId="0">
      <selection activeCell="AD9" sqref="AD9"/>
    </sheetView>
  </sheetViews>
  <sheetFormatPr defaultRowHeight="14.4" x14ac:dyDescent="0.3"/>
  <cols>
    <col min="3" max="3" width="15.5546875" customWidth="1"/>
    <col min="4" max="4" width="21.33203125" customWidth="1"/>
    <col min="5" max="5" width="20.21875" customWidth="1"/>
    <col min="6" max="6" width="26.33203125" customWidth="1"/>
    <col min="7" max="7" width="6.88671875" customWidth="1"/>
    <col min="8" max="8" width="15.88671875" customWidth="1"/>
    <col min="9" max="9" width="21.44140625" customWidth="1"/>
    <col min="10" max="10" width="30.33203125" customWidth="1"/>
    <col min="11" max="11" width="27.21875" customWidth="1"/>
    <col min="12" max="12" width="16" customWidth="1"/>
    <col min="13" max="13" width="21.77734375" customWidth="1"/>
    <col min="14" max="14" width="30.33203125" customWidth="1"/>
    <col min="15" max="15" width="17.77734375" customWidth="1"/>
    <col min="16" max="16" width="5.109375" customWidth="1"/>
    <col min="17" max="17" width="18.33203125" customWidth="1"/>
    <col min="18" max="18" width="21.21875" customWidth="1"/>
    <col min="19" max="19" width="16.44140625" customWidth="1"/>
    <col min="21" max="21" width="15" customWidth="1"/>
    <col min="22" max="22" width="22.5546875" customWidth="1"/>
    <col min="23" max="23" width="14.5546875" customWidth="1"/>
    <col min="24" max="24" width="16.21875" customWidth="1"/>
    <col min="25" max="25" width="27.77734375" customWidth="1"/>
    <col min="26" max="26" width="12.6640625" customWidth="1"/>
    <col min="27" max="27" width="30.21875" customWidth="1"/>
    <col min="28" max="28" width="17.44140625" customWidth="1"/>
    <col min="29" max="29" width="17.77734375" customWidth="1"/>
    <col min="30" max="30" width="18.44140625" customWidth="1"/>
    <col min="31" max="31" width="19" customWidth="1"/>
    <col min="32" max="32" width="23.109375" customWidth="1"/>
  </cols>
  <sheetData>
    <row r="1" spans="1:34" s="19" customFormat="1" ht="39.6" customHeight="1" x14ac:dyDescent="0.3">
      <c r="A1" s="53"/>
      <c r="C1" s="54" t="s">
        <v>117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</row>
    <row r="3" spans="1:34" ht="45" customHeight="1" x14ac:dyDescent="0.35">
      <c r="H3" s="39" t="s">
        <v>101</v>
      </c>
      <c r="I3" s="39" t="s">
        <v>102</v>
      </c>
      <c r="J3" s="39" t="s">
        <v>103</v>
      </c>
      <c r="K3" s="39" t="s">
        <v>104</v>
      </c>
      <c r="L3" s="19"/>
      <c r="M3" s="50" t="s">
        <v>115</v>
      </c>
      <c r="N3" s="51"/>
      <c r="Q3" s="40" t="s">
        <v>2</v>
      </c>
      <c r="R3" s="40" t="s">
        <v>38</v>
      </c>
      <c r="S3" s="40" t="s">
        <v>4</v>
      </c>
      <c r="T3" s="52"/>
      <c r="U3" s="27" t="s">
        <v>70</v>
      </c>
      <c r="V3" s="27" t="s">
        <v>75</v>
      </c>
      <c r="W3" s="27" t="s">
        <v>4</v>
      </c>
      <c r="X3" s="27" t="s">
        <v>21</v>
      </c>
      <c r="Y3" s="27" t="s">
        <v>72</v>
      </c>
      <c r="AA3" s="9" t="s">
        <v>18</v>
      </c>
      <c r="AB3" s="9" t="s">
        <v>19</v>
      </c>
      <c r="AC3" s="9" t="s">
        <v>4</v>
      </c>
    </row>
    <row r="4" spans="1:34" x14ac:dyDescent="0.3">
      <c r="H4" s="34"/>
      <c r="I4" s="34"/>
      <c r="J4" s="34"/>
      <c r="K4" s="34"/>
      <c r="Q4" s="41"/>
      <c r="R4" s="41"/>
      <c r="S4" s="41"/>
      <c r="U4" s="27"/>
      <c r="V4" s="27"/>
      <c r="W4" s="27"/>
      <c r="X4" s="27"/>
      <c r="Y4" s="27"/>
      <c r="AA4" s="2"/>
      <c r="AB4" s="2"/>
      <c r="AC4" s="2"/>
    </row>
    <row r="5" spans="1:34" ht="48.6" customHeight="1" x14ac:dyDescent="0.35">
      <c r="H5" s="35">
        <f>COUNTA('Task Tracker'!D5:D100)</f>
        <v>6</v>
      </c>
      <c r="I5" s="35">
        <f>COUNTIF('Task Tracker'!I5:I100,"Completed")</f>
        <v>1</v>
      </c>
      <c r="J5" s="35">
        <f>COUNTA('Coding Tracker'!F5:F100)</f>
        <v>8</v>
      </c>
      <c r="K5" s="35">
        <f>COUNTA('Placement Tracker'!C5:C100)</f>
        <v>5</v>
      </c>
      <c r="M5" s="37" t="s">
        <v>111</v>
      </c>
      <c r="N5" s="37" t="s">
        <v>110</v>
      </c>
      <c r="Q5" s="42" t="s">
        <v>6</v>
      </c>
      <c r="R5" s="42" t="s">
        <v>46</v>
      </c>
      <c r="S5" s="42" t="s">
        <v>17</v>
      </c>
      <c r="U5" s="29" t="s">
        <v>80</v>
      </c>
      <c r="V5" s="29" t="s">
        <v>79</v>
      </c>
      <c r="W5" s="29" t="s">
        <v>76</v>
      </c>
      <c r="X5" s="29" t="s">
        <v>29</v>
      </c>
      <c r="Y5" s="29" t="s">
        <v>77</v>
      </c>
      <c r="AA5" s="21" t="s">
        <v>33</v>
      </c>
      <c r="AB5" s="22" t="s">
        <v>25</v>
      </c>
      <c r="AC5" s="22" t="s">
        <v>32</v>
      </c>
    </row>
    <row r="6" spans="1:34" ht="36.6" customHeight="1" x14ac:dyDescent="0.35">
      <c r="H6" s="34"/>
      <c r="I6" s="34"/>
      <c r="J6" s="34"/>
      <c r="K6" s="34"/>
      <c r="M6" s="37" t="s">
        <v>105</v>
      </c>
      <c r="N6" s="37" t="s">
        <v>112</v>
      </c>
      <c r="Q6" s="43" t="s">
        <v>44</v>
      </c>
      <c r="R6" s="43" t="s">
        <v>47</v>
      </c>
      <c r="S6" s="43" t="s">
        <v>32</v>
      </c>
      <c r="U6" s="30" t="s">
        <v>81</v>
      </c>
      <c r="V6" s="30" t="s">
        <v>83</v>
      </c>
      <c r="W6" s="30" t="s">
        <v>76</v>
      </c>
      <c r="X6" s="30" t="s">
        <v>29</v>
      </c>
      <c r="Y6" s="30" t="s">
        <v>84</v>
      </c>
      <c r="AA6" s="25" t="s">
        <v>22</v>
      </c>
      <c r="AB6" s="22" t="s">
        <v>26</v>
      </c>
      <c r="AC6" s="22" t="s">
        <v>16</v>
      </c>
    </row>
    <row r="7" spans="1:34" ht="41.4" customHeight="1" x14ac:dyDescent="0.35">
      <c r="H7" s="34"/>
      <c r="I7" s="34"/>
      <c r="J7" s="34"/>
      <c r="K7" s="34"/>
      <c r="M7" s="37" t="s">
        <v>106</v>
      </c>
      <c r="N7" s="37" t="s">
        <v>113</v>
      </c>
      <c r="Q7" s="42" t="s">
        <v>10</v>
      </c>
      <c r="R7" s="42" t="s">
        <v>48</v>
      </c>
      <c r="S7" s="42" t="s">
        <v>17</v>
      </c>
      <c r="U7" s="27" t="s">
        <v>85</v>
      </c>
      <c r="V7" s="27" t="s">
        <v>87</v>
      </c>
      <c r="W7" s="27" t="s">
        <v>76</v>
      </c>
      <c r="X7" s="27" t="s">
        <v>29</v>
      </c>
      <c r="Y7" s="27" t="s">
        <v>88</v>
      </c>
      <c r="AA7" s="21" t="s">
        <v>23</v>
      </c>
      <c r="AB7" s="22" t="s">
        <v>27</v>
      </c>
      <c r="AC7" s="22" t="s">
        <v>17</v>
      </c>
    </row>
    <row r="8" spans="1:34" ht="37.799999999999997" customHeight="1" x14ac:dyDescent="0.35">
      <c r="H8" s="34"/>
      <c r="I8" s="34"/>
      <c r="J8" s="34"/>
      <c r="K8" s="34"/>
      <c r="M8" s="37" t="s">
        <v>107</v>
      </c>
      <c r="N8" s="37" t="s">
        <v>114</v>
      </c>
      <c r="Q8" s="43" t="s">
        <v>45</v>
      </c>
      <c r="R8" s="43" t="s">
        <v>49</v>
      </c>
      <c r="S8" s="43" t="s">
        <v>32</v>
      </c>
      <c r="U8" s="27" t="s">
        <v>89</v>
      </c>
      <c r="V8" s="27" t="s">
        <v>87</v>
      </c>
      <c r="W8" s="27" t="s">
        <v>76</v>
      </c>
      <c r="X8" s="27" t="s">
        <v>30</v>
      </c>
      <c r="Y8" s="27" t="s">
        <v>92</v>
      </c>
      <c r="AA8" s="21" t="s">
        <v>24</v>
      </c>
      <c r="AB8" s="22" t="s">
        <v>28</v>
      </c>
      <c r="AC8" s="22" t="s">
        <v>16</v>
      </c>
    </row>
    <row r="9" spans="1:34" ht="65.400000000000006" customHeight="1" x14ac:dyDescent="0.35">
      <c r="H9" s="34"/>
      <c r="I9" s="34"/>
      <c r="J9" s="34"/>
      <c r="K9" s="34"/>
      <c r="M9" s="37" t="s">
        <v>108</v>
      </c>
      <c r="N9" s="38">
        <v>2028</v>
      </c>
      <c r="Q9" s="42" t="s">
        <v>9</v>
      </c>
      <c r="R9" s="42" t="s">
        <v>50</v>
      </c>
      <c r="S9" s="42" t="s">
        <v>17</v>
      </c>
      <c r="U9" s="30" t="s">
        <v>93</v>
      </c>
      <c r="V9" s="32" t="s">
        <v>96</v>
      </c>
      <c r="W9" s="30" t="s">
        <v>76</v>
      </c>
      <c r="X9" s="30" t="s">
        <v>30</v>
      </c>
      <c r="Y9" s="30" t="s">
        <v>95</v>
      </c>
      <c r="AA9" s="21" t="s">
        <v>36</v>
      </c>
      <c r="AB9" s="22" t="s">
        <v>27</v>
      </c>
      <c r="AC9" s="22" t="s">
        <v>32</v>
      </c>
      <c r="AD9" t="s">
        <v>122</v>
      </c>
    </row>
    <row r="10" spans="1:34" ht="45.6" customHeight="1" x14ac:dyDescent="0.3">
      <c r="H10" s="34"/>
      <c r="I10" s="34"/>
      <c r="J10" s="34"/>
      <c r="K10" s="34"/>
      <c r="M10" s="37" t="s">
        <v>109</v>
      </c>
      <c r="N10" s="37" t="s">
        <v>73</v>
      </c>
      <c r="Q10" s="43" t="s">
        <v>56</v>
      </c>
      <c r="R10" s="43" t="s">
        <v>57</v>
      </c>
      <c r="S10" s="43" t="s">
        <v>16</v>
      </c>
      <c r="AA10" s="45" t="s">
        <v>116</v>
      </c>
      <c r="AB10" s="46" t="s">
        <v>27</v>
      </c>
      <c r="AC10" s="49" t="s">
        <v>32</v>
      </c>
      <c r="AG10" s="44"/>
      <c r="AH10" s="44"/>
    </row>
    <row r="11" spans="1:34" ht="38.4" customHeight="1" x14ac:dyDescent="0.3">
      <c r="H11" s="34"/>
      <c r="I11" s="34"/>
      <c r="J11" s="34"/>
      <c r="K11" s="34"/>
      <c r="Q11" s="42" t="s">
        <v>61</v>
      </c>
      <c r="R11" s="42" t="s">
        <v>62</v>
      </c>
      <c r="S11" s="42" t="s">
        <v>32</v>
      </c>
    </row>
    <row r="12" spans="1:34" ht="37.200000000000003" customHeight="1" thickBot="1" x14ac:dyDescent="0.4">
      <c r="H12" s="34"/>
      <c r="I12" s="34"/>
      <c r="J12" s="34"/>
      <c r="K12" s="34"/>
      <c r="L12" s="60" t="s">
        <v>118</v>
      </c>
      <c r="M12" s="63" t="s">
        <v>119</v>
      </c>
      <c r="N12" s="62" t="s">
        <v>120</v>
      </c>
      <c r="O12" s="61" t="s">
        <v>121</v>
      </c>
      <c r="Q12" s="43" t="s">
        <v>45</v>
      </c>
      <c r="R12" s="43" t="s">
        <v>69</v>
      </c>
      <c r="S12" s="43" t="s">
        <v>17</v>
      </c>
    </row>
    <row r="13" spans="1:34" ht="21.6" thickBot="1" x14ac:dyDescent="0.45">
      <c r="C13" s="34"/>
      <c r="D13" s="34"/>
      <c r="E13" s="34"/>
      <c r="F13" s="34"/>
      <c r="L13" s="56">
        <f>H5</f>
        <v>6</v>
      </c>
      <c r="M13" s="57">
        <f>I5</f>
        <v>1</v>
      </c>
      <c r="N13" s="58">
        <f>K5</f>
        <v>5</v>
      </c>
      <c r="O13" s="59">
        <f>J5</f>
        <v>8</v>
      </c>
    </row>
    <row r="14" spans="1:34" x14ac:dyDescent="0.3">
      <c r="C14" s="34"/>
      <c r="D14" s="34"/>
      <c r="E14" s="34"/>
      <c r="F14" s="34"/>
    </row>
    <row r="15" spans="1:34" ht="23.4" customHeight="1" x14ac:dyDescent="0.3"/>
    <row r="16" spans="1:34" ht="22.2" customHeight="1" x14ac:dyDescent="0.3"/>
  </sheetData>
  <mergeCells count="2">
    <mergeCell ref="M3:N3"/>
    <mergeCell ref="C1:AG1"/>
  </mergeCells>
  <conditionalFormatting sqref="S3:S12">
    <cfRule type="containsText" dxfId="11" priority="1" operator="containsText" text="Pending">
      <formula>NOT(ISERROR(SEARCH("Pending",S3)))</formula>
    </cfRule>
    <cfRule type="containsText" dxfId="10" priority="2" operator="containsText" text="In Progress">
      <formula>NOT(ISERROR(SEARCH("In Progress",S3)))</formula>
    </cfRule>
    <cfRule type="containsText" dxfId="9" priority="3" operator="containsText" text="Completed">
      <formula>NOT(ISERROR(SEARCH("Completed",S3)))</formula>
    </cfRule>
  </conditionalFormatting>
  <dataValidations count="5">
    <dataValidation type="list" allowBlank="1" showInputMessage="1" showErrorMessage="1" sqref="AC5:AC9 AC3 AH10" xr:uid="{B04F807D-2E43-41AA-B1F5-F8AFFEBF4ABD}">
      <formula1>"Pending, In Progress, Completed"</formula1>
    </dataValidation>
    <dataValidation type="list" allowBlank="1" showInputMessage="1" showErrorMessage="1" sqref="S3:S12" xr:uid="{16D17FA7-3A8D-4768-A098-0E57D40F0547}">
      <formula1>"Completed, In Progress, Pending"</formula1>
    </dataValidation>
    <dataValidation type="list" allowBlank="1" showInputMessage="1" showErrorMessage="1" sqref="W3:W9" xr:uid="{257D107E-3F2B-44C3-AB6F-C137513B577E}">
      <formula1>"Not Started, Preparing, Completed"</formula1>
    </dataValidation>
    <dataValidation type="list" allowBlank="1" showInputMessage="1" showErrorMessage="1" sqref="X3:X9" xr:uid="{01764272-C43E-4CBC-9D77-E026FDC64520}">
      <formula1>"High, Medium"</formula1>
    </dataValidation>
    <dataValidation type="list" allowBlank="1" showInputMessage="1" showErrorMessage="1" sqref="AG10" xr:uid="{B20E5947-2BAE-4DD7-8106-62168B6DFC3E}">
      <formula1>"High, Medium, Low"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B1E7-18B2-4334-B5BE-25A832C7D4C6}">
  <dimension ref="C2:H8"/>
  <sheetViews>
    <sheetView zoomScale="94" zoomScaleNormal="94" workbookViewId="0">
      <selection activeCell="B2" sqref="B2"/>
    </sheetView>
  </sheetViews>
  <sheetFormatPr defaultRowHeight="15.6" x14ac:dyDescent="0.3"/>
  <cols>
    <col min="3" max="3" width="14.21875" style="4" customWidth="1"/>
    <col min="4" max="4" width="15.33203125" customWidth="1"/>
    <col min="5" max="5" width="13.44140625" customWidth="1"/>
    <col min="6" max="6" width="21.5546875" customWidth="1"/>
    <col min="7" max="7" width="18.109375" customWidth="1"/>
    <col min="8" max="8" width="15" customWidth="1"/>
  </cols>
  <sheetData>
    <row r="2" spans="3:8" ht="21" x14ac:dyDescent="0.4">
      <c r="C2" s="6" t="s">
        <v>0</v>
      </c>
      <c r="D2" s="7" t="s">
        <v>1</v>
      </c>
      <c r="E2" s="7" t="s">
        <v>2</v>
      </c>
      <c r="F2" s="8" t="s">
        <v>5</v>
      </c>
      <c r="G2" s="7" t="s">
        <v>3</v>
      </c>
      <c r="H2" s="7" t="s">
        <v>4</v>
      </c>
    </row>
    <row r="4" spans="3:8" ht="19.8" customHeight="1" x14ac:dyDescent="0.35">
      <c r="C4" s="3">
        <v>46309</v>
      </c>
      <c r="D4" s="1" t="s">
        <v>6</v>
      </c>
      <c r="E4" s="1" t="s">
        <v>11</v>
      </c>
      <c r="F4" s="5">
        <v>2</v>
      </c>
      <c r="G4" s="5">
        <v>1.5</v>
      </c>
      <c r="H4" s="1" t="s">
        <v>16</v>
      </c>
    </row>
    <row r="5" spans="3:8" ht="21" customHeight="1" x14ac:dyDescent="0.35">
      <c r="C5" s="3">
        <v>46310</v>
      </c>
      <c r="D5" s="1" t="s">
        <v>7</v>
      </c>
      <c r="E5" s="1" t="s">
        <v>12</v>
      </c>
      <c r="F5" s="5">
        <v>1</v>
      </c>
      <c r="G5" s="5">
        <v>1</v>
      </c>
      <c r="H5" s="1" t="s">
        <v>17</v>
      </c>
    </row>
    <row r="6" spans="3:8" ht="21" customHeight="1" x14ac:dyDescent="0.35">
      <c r="C6" s="3">
        <v>46310</v>
      </c>
      <c r="D6" s="1" t="s">
        <v>8</v>
      </c>
      <c r="E6" s="1" t="s">
        <v>15</v>
      </c>
      <c r="F6" s="5">
        <v>1</v>
      </c>
      <c r="G6" s="5">
        <v>0.5</v>
      </c>
      <c r="H6" s="1" t="s">
        <v>16</v>
      </c>
    </row>
    <row r="7" spans="3:8" ht="19.8" customHeight="1" x14ac:dyDescent="0.35">
      <c r="C7" s="3">
        <v>46311</v>
      </c>
      <c r="D7" s="1" t="s">
        <v>9</v>
      </c>
      <c r="E7" s="1" t="s">
        <v>13</v>
      </c>
      <c r="F7" s="5">
        <v>2</v>
      </c>
      <c r="G7" s="5">
        <v>1.5</v>
      </c>
      <c r="H7" s="1" t="s">
        <v>16</v>
      </c>
    </row>
    <row r="8" spans="3:8" ht="22.2" customHeight="1" x14ac:dyDescent="0.35">
      <c r="C8" s="3">
        <v>46312</v>
      </c>
      <c r="D8" s="1" t="s">
        <v>10</v>
      </c>
      <c r="E8" s="1" t="s">
        <v>14</v>
      </c>
      <c r="F8" s="5">
        <v>2</v>
      </c>
      <c r="G8" s="5">
        <v>1</v>
      </c>
      <c r="H8" s="1" t="s">
        <v>16</v>
      </c>
    </row>
  </sheetData>
  <dataValidations count="1">
    <dataValidation type="list" allowBlank="1" showInputMessage="1" showErrorMessage="1" sqref="H1:H1048576" xr:uid="{05443995-DC63-4B3E-AB6E-F822BC7CF909}">
      <formula1>"Pending, Completed, In Progress"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FAA7-4600-4C51-A25C-A032736A4E75}">
  <dimension ref="D3:J10"/>
  <sheetViews>
    <sheetView topLeftCell="B1" zoomScale="94" zoomScaleNormal="94" workbookViewId="0">
      <selection activeCell="B6" sqref="B6"/>
    </sheetView>
  </sheetViews>
  <sheetFormatPr defaultRowHeight="14.4" x14ac:dyDescent="0.3"/>
  <cols>
    <col min="3" max="3" width="5.44140625" customWidth="1"/>
    <col min="4" max="4" width="16" style="2" customWidth="1"/>
    <col min="5" max="5" width="13.21875" style="2" customWidth="1"/>
    <col min="6" max="6" width="15" style="2" customWidth="1"/>
    <col min="7" max="7" width="12.44140625" style="2" customWidth="1"/>
    <col min="8" max="8" width="15" style="2" customWidth="1"/>
    <col min="9" max="9" width="22.77734375" customWidth="1"/>
    <col min="10" max="10" width="14" customWidth="1"/>
  </cols>
  <sheetData>
    <row r="3" spans="4:10" ht="20.399999999999999" x14ac:dyDescent="0.35">
      <c r="D3" s="9" t="s">
        <v>18</v>
      </c>
      <c r="E3" s="9" t="s">
        <v>19</v>
      </c>
      <c r="F3" s="9" t="s">
        <v>20</v>
      </c>
      <c r="G3" s="9" t="s">
        <v>21</v>
      </c>
      <c r="H3" s="9" t="s">
        <v>4</v>
      </c>
      <c r="I3" s="9" t="s">
        <v>34</v>
      </c>
      <c r="J3" s="9" t="s">
        <v>35</v>
      </c>
    </row>
    <row r="4" spans="4:10" ht="20.399999999999999" customHeight="1" x14ac:dyDescent="0.3"/>
    <row r="5" spans="4:10" ht="45" customHeight="1" x14ac:dyDescent="0.35">
      <c r="D5" s="21" t="s">
        <v>33</v>
      </c>
      <c r="E5" s="22" t="s">
        <v>25</v>
      </c>
      <c r="F5" s="23">
        <v>46310</v>
      </c>
      <c r="G5" s="22" t="s">
        <v>29</v>
      </c>
      <c r="H5" s="22" t="s">
        <v>32</v>
      </c>
      <c r="I5" s="22" t="s">
        <v>17</v>
      </c>
      <c r="J5" s="26">
        <f>COUNTIF(I5:I100,"Completed")</f>
        <v>1</v>
      </c>
    </row>
    <row r="6" spans="4:10" ht="34.799999999999997" customHeight="1" x14ac:dyDescent="0.35">
      <c r="D6" s="25" t="s">
        <v>22</v>
      </c>
      <c r="E6" s="22" t="s">
        <v>26</v>
      </c>
      <c r="F6" s="23">
        <v>46311</v>
      </c>
      <c r="G6" s="22" t="s">
        <v>30</v>
      </c>
      <c r="H6" s="22" t="s">
        <v>16</v>
      </c>
      <c r="I6" s="22" t="s">
        <v>16</v>
      </c>
      <c r="J6" s="26">
        <f>COUNTIF(H:H,"Pending")</f>
        <v>2</v>
      </c>
    </row>
    <row r="7" spans="4:10" ht="36.6" customHeight="1" x14ac:dyDescent="0.35">
      <c r="D7" s="21" t="s">
        <v>23</v>
      </c>
      <c r="E7" s="22" t="s">
        <v>27</v>
      </c>
      <c r="F7" s="23">
        <v>46311</v>
      </c>
      <c r="G7" s="22" t="s">
        <v>29</v>
      </c>
      <c r="H7" s="22" t="s">
        <v>17</v>
      </c>
      <c r="I7" s="22" t="s">
        <v>32</v>
      </c>
      <c r="J7" s="26">
        <f>COUNTIF(H:H,"In Progress")</f>
        <v>3</v>
      </c>
    </row>
    <row r="8" spans="4:10" ht="42.6" customHeight="1" x14ac:dyDescent="0.35">
      <c r="D8" s="21" t="s">
        <v>24</v>
      </c>
      <c r="E8" s="22" t="s">
        <v>28</v>
      </c>
      <c r="F8" s="23">
        <v>46313</v>
      </c>
      <c r="G8" s="22" t="s">
        <v>31</v>
      </c>
      <c r="H8" s="22" t="s">
        <v>16</v>
      </c>
      <c r="I8" s="24"/>
      <c r="J8" s="24"/>
    </row>
    <row r="9" spans="4:10" ht="33" customHeight="1" x14ac:dyDescent="0.35">
      <c r="D9" s="21" t="s">
        <v>36</v>
      </c>
      <c r="E9" s="22" t="s">
        <v>27</v>
      </c>
      <c r="F9" s="23">
        <v>46311</v>
      </c>
      <c r="G9" s="22" t="s">
        <v>29</v>
      </c>
      <c r="H9" s="22" t="s">
        <v>32</v>
      </c>
      <c r="I9" s="24"/>
      <c r="J9" s="24"/>
    </row>
    <row r="10" spans="4:10" s="36" customFormat="1" ht="54" customHeight="1" x14ac:dyDescent="0.3">
      <c r="D10" s="45" t="s">
        <v>116</v>
      </c>
      <c r="E10" s="46" t="s">
        <v>27</v>
      </c>
      <c r="F10" s="47">
        <v>46320</v>
      </c>
      <c r="G10" s="46" t="s">
        <v>30</v>
      </c>
      <c r="H10" s="46" t="s">
        <v>32</v>
      </c>
      <c r="I10" s="48"/>
      <c r="J10" s="48"/>
    </row>
  </sheetData>
  <dataValidations count="2">
    <dataValidation type="list" allowBlank="1" showInputMessage="1" showErrorMessage="1" sqref="H5:H165 H3" xr:uid="{14D430AD-9A15-43B2-975D-7C37BFDA9370}">
      <formula1>"Pending, In Progress, Completed"</formula1>
    </dataValidation>
    <dataValidation type="list" allowBlank="1" showInputMessage="1" showErrorMessage="1" sqref="G5:G165 G3" xr:uid="{55315FC7-527E-4D48-A8E3-E2B2FA10CB12}">
      <formula1>"High, Medium, Low"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72A3-7BF1-4C55-AF97-A66C11F6C044}">
  <dimension ref="C3:V20"/>
  <sheetViews>
    <sheetView topLeftCell="C2" zoomScale="86" zoomScaleNormal="86" workbookViewId="0">
      <selection activeCell="V6" sqref="V6"/>
    </sheetView>
  </sheetViews>
  <sheetFormatPr defaultRowHeight="14.4" x14ac:dyDescent="0.3"/>
  <cols>
    <col min="2" max="2" width="7.44140625" customWidth="1"/>
    <col min="3" max="3" width="12.77734375" style="2" customWidth="1"/>
    <col min="4" max="4" width="14.77734375" style="2" customWidth="1"/>
    <col min="5" max="5" width="15.6640625" style="2" customWidth="1"/>
    <col min="6" max="6" width="19.33203125" style="2" customWidth="1"/>
    <col min="7" max="7" width="14.33203125" style="2" customWidth="1"/>
    <col min="8" max="8" width="14.5546875" style="2" customWidth="1"/>
    <col min="9" max="9" width="16.21875" style="2" customWidth="1"/>
    <col min="10" max="10" width="11.21875" customWidth="1"/>
    <col min="11" max="11" width="22" customWidth="1"/>
    <col min="12" max="12" width="12.88671875" customWidth="1"/>
  </cols>
  <sheetData>
    <row r="3" spans="3:22" ht="24" customHeight="1" x14ac:dyDescent="0.35">
      <c r="C3" s="11" t="s">
        <v>0</v>
      </c>
      <c r="D3" s="11" t="s">
        <v>37</v>
      </c>
      <c r="E3" s="11" t="s">
        <v>2</v>
      </c>
      <c r="F3" s="11" t="s">
        <v>38</v>
      </c>
      <c r="G3" s="11" t="s">
        <v>39</v>
      </c>
      <c r="H3" s="11" t="s">
        <v>4</v>
      </c>
      <c r="I3" s="11" t="s">
        <v>40</v>
      </c>
      <c r="K3" s="12" t="s">
        <v>63</v>
      </c>
    </row>
    <row r="4" spans="3:22" ht="18" customHeight="1" x14ac:dyDescent="0.3"/>
    <row r="5" spans="3:22" ht="18.600000000000001" customHeight="1" x14ac:dyDescent="0.35">
      <c r="C5" s="3">
        <v>46311</v>
      </c>
      <c r="D5" s="4" t="s">
        <v>41</v>
      </c>
      <c r="E5" s="4" t="s">
        <v>6</v>
      </c>
      <c r="F5" s="4" t="s">
        <v>46</v>
      </c>
      <c r="G5" s="4" t="s">
        <v>51</v>
      </c>
      <c r="H5" s="4" t="s">
        <v>17</v>
      </c>
      <c r="I5" s="5" t="s">
        <v>52</v>
      </c>
      <c r="K5" s="14" t="s">
        <v>64</v>
      </c>
      <c r="L5" s="15">
        <f>COUNTA(F5:F150)</f>
        <v>8</v>
      </c>
    </row>
    <row r="6" spans="3:22" ht="19.8" customHeight="1" x14ac:dyDescent="0.35">
      <c r="C6" s="3">
        <v>46311</v>
      </c>
      <c r="D6" s="4" t="s">
        <v>42</v>
      </c>
      <c r="E6" s="4" t="s">
        <v>44</v>
      </c>
      <c r="F6" s="4" t="s">
        <v>47</v>
      </c>
      <c r="G6" s="4" t="s">
        <v>51</v>
      </c>
      <c r="H6" s="4" t="s">
        <v>32</v>
      </c>
      <c r="I6" s="5" t="s">
        <v>53</v>
      </c>
      <c r="K6" s="1" t="s">
        <v>17</v>
      </c>
      <c r="L6" s="5">
        <f>COUNTIF(H5:H161,"Completed")</f>
        <v>4</v>
      </c>
    </row>
    <row r="7" spans="3:22" ht="19.8" customHeight="1" x14ac:dyDescent="0.35">
      <c r="C7" s="3">
        <v>46312</v>
      </c>
      <c r="D7" s="4" t="s">
        <v>43</v>
      </c>
      <c r="E7" s="4" t="s">
        <v>10</v>
      </c>
      <c r="F7" s="4" t="s">
        <v>48</v>
      </c>
      <c r="G7" s="4" t="s">
        <v>30</v>
      </c>
      <c r="H7" s="4" t="s">
        <v>17</v>
      </c>
      <c r="I7" s="5" t="s">
        <v>53</v>
      </c>
      <c r="K7" s="1" t="s">
        <v>32</v>
      </c>
      <c r="L7" s="5">
        <f>COUNTIF(H6:H151,"In Progress")</f>
        <v>3</v>
      </c>
    </row>
    <row r="8" spans="3:22" ht="19.2" customHeight="1" x14ac:dyDescent="0.35">
      <c r="C8" s="3">
        <v>46312</v>
      </c>
      <c r="D8" s="4" t="s">
        <v>42</v>
      </c>
      <c r="E8" s="4" t="s">
        <v>45</v>
      </c>
      <c r="F8" s="4" t="s">
        <v>49</v>
      </c>
      <c r="G8" s="4" t="s">
        <v>30</v>
      </c>
      <c r="H8" s="4" t="s">
        <v>32</v>
      </c>
      <c r="I8" s="5" t="s">
        <v>54</v>
      </c>
      <c r="K8" s="1" t="s">
        <v>16</v>
      </c>
      <c r="L8" s="5">
        <f>COUNTIF(H5:H150,"Pending")</f>
        <v>1</v>
      </c>
    </row>
    <row r="9" spans="3:22" ht="20.399999999999999" customHeight="1" x14ac:dyDescent="0.35">
      <c r="C9" s="3">
        <v>46313</v>
      </c>
      <c r="D9" s="4" t="s">
        <v>41</v>
      </c>
      <c r="E9" s="4" t="s">
        <v>9</v>
      </c>
      <c r="F9" s="4" t="s">
        <v>50</v>
      </c>
      <c r="G9" s="4" t="s">
        <v>51</v>
      </c>
      <c r="H9" s="4" t="s">
        <v>17</v>
      </c>
      <c r="I9" s="5" t="s">
        <v>53</v>
      </c>
      <c r="K9" s="1" t="s">
        <v>65</v>
      </c>
      <c r="L9" s="5">
        <f>COUNTIF(G5:G150,"Easy")</f>
        <v>4</v>
      </c>
    </row>
    <row r="10" spans="3:22" ht="19.2" customHeight="1" x14ac:dyDescent="0.35">
      <c r="C10" s="3">
        <v>46314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16</v>
      </c>
      <c r="I10" s="5" t="s">
        <v>59</v>
      </c>
      <c r="K10" s="1" t="s">
        <v>66</v>
      </c>
      <c r="L10" s="5">
        <f>COUNTIF(G6:G151,"Medium")</f>
        <v>3</v>
      </c>
    </row>
    <row r="11" spans="3:22" ht="20.399999999999999" customHeight="1" x14ac:dyDescent="0.35">
      <c r="C11" s="3">
        <v>46315</v>
      </c>
      <c r="D11" s="4" t="s">
        <v>60</v>
      </c>
      <c r="E11" s="4" t="s">
        <v>61</v>
      </c>
      <c r="F11" s="4" t="s">
        <v>62</v>
      </c>
      <c r="G11" s="4" t="s">
        <v>30</v>
      </c>
      <c r="H11" s="4" t="s">
        <v>32</v>
      </c>
      <c r="I11" s="5" t="s">
        <v>53</v>
      </c>
      <c r="K11" s="1" t="s">
        <v>67</v>
      </c>
      <c r="L11" s="5">
        <f>COUNTIF(G6:G151,"Hard")</f>
        <v>1</v>
      </c>
    </row>
    <row r="12" spans="3:22" ht="21" customHeight="1" x14ac:dyDescent="0.4">
      <c r="C12" s="3">
        <v>46316</v>
      </c>
      <c r="D12" s="4" t="s">
        <v>68</v>
      </c>
      <c r="E12" s="4" t="s">
        <v>45</v>
      </c>
      <c r="F12" s="4" t="s">
        <v>69</v>
      </c>
      <c r="G12" s="4" t="s">
        <v>51</v>
      </c>
      <c r="H12" s="4" t="s">
        <v>17</v>
      </c>
      <c r="I12" s="5" t="s">
        <v>52</v>
      </c>
      <c r="K12" s="13"/>
      <c r="V12" s="17"/>
    </row>
    <row r="13" spans="3:22" x14ac:dyDescent="0.3">
      <c r="C13" s="10"/>
    </row>
    <row r="14" spans="3:22" ht="21" x14ac:dyDescent="0.4">
      <c r="C14" s="10"/>
      <c r="V14" s="16"/>
    </row>
    <row r="15" spans="3:22" ht="24" customHeight="1" x14ac:dyDescent="0.3">
      <c r="C15" s="10"/>
    </row>
    <row r="16" spans="3:22" x14ac:dyDescent="0.3">
      <c r="C16" s="10"/>
    </row>
    <row r="17" spans="3:3" x14ac:dyDescent="0.3">
      <c r="C17" s="10"/>
    </row>
    <row r="18" spans="3:3" x14ac:dyDescent="0.3">
      <c r="C18" s="10"/>
    </row>
    <row r="19" spans="3:3" x14ac:dyDescent="0.3">
      <c r="C19" s="10"/>
    </row>
    <row r="20" spans="3:3" x14ac:dyDescent="0.3">
      <c r="C20" s="10"/>
    </row>
  </sheetData>
  <conditionalFormatting sqref="G1:G1048576">
    <cfRule type="containsText" dxfId="8" priority="1" operator="containsText" text="Hard">
      <formula>NOT(ISERROR(SEARCH("Hard",G1)))</formula>
    </cfRule>
    <cfRule type="containsText" dxfId="7" priority="2" operator="containsText" text="Medium">
      <formula>NOT(ISERROR(SEARCH("Medium",G1)))</formula>
    </cfRule>
    <cfRule type="containsText" dxfId="6" priority="3" operator="containsText" text="Easy">
      <formula>NOT(ISERROR(SEARCH("Easy",G1)))</formula>
    </cfRule>
  </conditionalFormatting>
  <conditionalFormatting sqref="H1:H1048576">
    <cfRule type="containsText" dxfId="5" priority="4" operator="containsText" text="Pending">
      <formula>NOT(ISERROR(SEARCH("Pending",H1)))</formula>
    </cfRule>
    <cfRule type="containsText" dxfId="4" priority="5" operator="containsText" text="In Progress">
      <formula>NOT(ISERROR(SEARCH("In Progress",H1)))</formula>
    </cfRule>
    <cfRule type="containsText" dxfId="3" priority="6" operator="containsText" text="Completed">
      <formula>NOT(ISERROR(SEARCH("Completed",H1)))</formula>
    </cfRule>
  </conditionalFormatting>
  <conditionalFormatting sqref="H12">
    <cfRule type="containsText" dxfId="2" priority="9" operator="containsText" text="Completed">
      <formula>NOT(ISERROR(SEARCH("Completed",H12)))</formula>
    </cfRule>
  </conditionalFormatting>
  <conditionalFormatting sqref="J6">
    <cfRule type="containsText" dxfId="1" priority="8" operator="containsText" text="In Progress">
      <formula>NOT(ISERROR(SEARCH("In Progress",J6)))</formula>
    </cfRule>
  </conditionalFormatting>
  <conditionalFormatting sqref="J9">
    <cfRule type="containsText" dxfId="0" priority="7" operator="containsText" text="Pending">
      <formula>NOT(ISERROR(SEARCH("Pending",J9)))</formula>
    </cfRule>
  </conditionalFormatting>
  <dataValidations count="3">
    <dataValidation type="list" allowBlank="1" showInputMessage="1" showErrorMessage="1" sqref="G1:G1048576" xr:uid="{7EEA8EE1-0060-4FC0-B248-E854CC583D46}">
      <formula1>"Easy, Medium, Hard"</formula1>
    </dataValidation>
    <dataValidation type="list" allowBlank="1" showInputMessage="1" showErrorMessage="1" sqref="H1:H1048576" xr:uid="{3B55D996-693C-45C6-BA79-0F593F08E17D}">
      <formula1>"Completed, In Progress, Pending"</formula1>
    </dataValidation>
    <dataValidation type="list" allowBlank="1" showInputMessage="1" showErrorMessage="1" sqref="I1:I1048576" xr:uid="{760728C5-11DF-4BC6-86F9-B824EFA860D3}">
      <formula1>"30min, 1hr, 2hrs, 2hrs+"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8382-030F-4824-86E4-4B5D15A27059}">
  <dimension ref="B3:L12"/>
  <sheetViews>
    <sheetView tabSelected="1" zoomScale="105" zoomScaleNormal="105" workbookViewId="0">
      <selection activeCell="E14" sqref="E14"/>
    </sheetView>
  </sheetViews>
  <sheetFormatPr defaultRowHeight="14.4" x14ac:dyDescent="0.3"/>
  <cols>
    <col min="3" max="3" width="17.44140625" customWidth="1"/>
    <col min="4" max="4" width="25" customWidth="1"/>
    <col min="5" max="5" width="18.21875" customWidth="1"/>
    <col min="6" max="6" width="21.109375" customWidth="1"/>
    <col min="7" max="7" width="15" customWidth="1"/>
    <col min="8" max="8" width="14.5546875" customWidth="1"/>
    <col min="9" max="9" width="11" customWidth="1"/>
    <col min="10" max="10" width="34.88671875" customWidth="1"/>
    <col min="11" max="11" width="25.6640625" customWidth="1"/>
    <col min="12" max="12" width="16.5546875" customWidth="1"/>
  </cols>
  <sheetData>
    <row r="3" spans="2:12" ht="24" customHeight="1" x14ac:dyDescent="0.3">
      <c r="B3" s="27" t="s">
        <v>99</v>
      </c>
      <c r="C3" s="27" t="s">
        <v>70</v>
      </c>
      <c r="D3" s="27" t="s">
        <v>74</v>
      </c>
      <c r="E3" s="27" t="s">
        <v>75</v>
      </c>
      <c r="F3" s="27" t="s">
        <v>71</v>
      </c>
      <c r="G3" s="27" t="s">
        <v>20</v>
      </c>
      <c r="H3" s="27" t="s">
        <v>4</v>
      </c>
      <c r="I3" s="27" t="s">
        <v>21</v>
      </c>
      <c r="J3" s="27" t="s">
        <v>72</v>
      </c>
      <c r="K3" s="27" t="s">
        <v>97</v>
      </c>
      <c r="L3" s="27"/>
    </row>
    <row r="4" spans="2:12" x14ac:dyDescent="0.3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2:12" s="18" customFormat="1" ht="23.4" customHeight="1" x14ac:dyDescent="0.3">
      <c r="B5" s="28">
        <v>1</v>
      </c>
      <c r="C5" s="29" t="s">
        <v>80</v>
      </c>
      <c r="D5" s="29" t="s">
        <v>73</v>
      </c>
      <c r="E5" s="29" t="s">
        <v>79</v>
      </c>
      <c r="F5" s="28" t="s">
        <v>78</v>
      </c>
      <c r="G5" s="28" t="s">
        <v>78</v>
      </c>
      <c r="H5" s="29" t="s">
        <v>76</v>
      </c>
      <c r="I5" s="29" t="s">
        <v>29</v>
      </c>
      <c r="J5" s="29" t="s">
        <v>77</v>
      </c>
      <c r="K5" s="29" t="s">
        <v>98</v>
      </c>
      <c r="L5" s="28">
        <f>COUNTA(C5:C100)</f>
        <v>5</v>
      </c>
    </row>
    <row r="6" spans="2:12" s="20" customFormat="1" ht="25.8" customHeight="1" x14ac:dyDescent="0.3">
      <c r="B6" s="28">
        <v>2</v>
      </c>
      <c r="C6" s="30" t="s">
        <v>81</v>
      </c>
      <c r="D6" s="30" t="s">
        <v>82</v>
      </c>
      <c r="E6" s="30" t="s">
        <v>83</v>
      </c>
      <c r="F6" s="28" t="s">
        <v>78</v>
      </c>
      <c r="G6" s="28" t="s">
        <v>78</v>
      </c>
      <c r="H6" s="30" t="s">
        <v>76</v>
      </c>
      <c r="I6" s="30" t="s">
        <v>29</v>
      </c>
      <c r="J6" s="30" t="s">
        <v>84</v>
      </c>
      <c r="K6" s="30" t="s">
        <v>91</v>
      </c>
      <c r="L6" s="28">
        <f>COUNTIF(H5:H100,"Preparing")</f>
        <v>0</v>
      </c>
    </row>
    <row r="7" spans="2:12" ht="22.2" customHeight="1" x14ac:dyDescent="0.3">
      <c r="B7" s="31">
        <v>3</v>
      </c>
      <c r="C7" s="27" t="s">
        <v>85</v>
      </c>
      <c r="D7" s="27" t="s">
        <v>86</v>
      </c>
      <c r="E7" s="27" t="s">
        <v>87</v>
      </c>
      <c r="F7" s="28" t="s">
        <v>78</v>
      </c>
      <c r="G7" s="31" t="s">
        <v>78</v>
      </c>
      <c r="H7" s="27" t="s">
        <v>76</v>
      </c>
      <c r="I7" s="27" t="s">
        <v>29</v>
      </c>
      <c r="J7" s="27" t="s">
        <v>88</v>
      </c>
      <c r="K7" s="27" t="s">
        <v>76</v>
      </c>
      <c r="L7" s="31">
        <f>COUNTIF(H5:H100,"Not Started")</f>
        <v>5</v>
      </c>
    </row>
    <row r="8" spans="2:12" ht="23.4" customHeight="1" x14ac:dyDescent="0.3">
      <c r="B8" s="31">
        <v>4</v>
      </c>
      <c r="C8" s="27" t="s">
        <v>89</v>
      </c>
      <c r="D8" s="27" t="s">
        <v>90</v>
      </c>
      <c r="E8" s="27" t="s">
        <v>87</v>
      </c>
      <c r="F8" s="31" t="s">
        <v>78</v>
      </c>
      <c r="G8" s="31" t="s">
        <v>78</v>
      </c>
      <c r="H8" s="27" t="s">
        <v>76</v>
      </c>
      <c r="I8" s="27" t="s">
        <v>30</v>
      </c>
      <c r="J8" s="27" t="s">
        <v>92</v>
      </c>
      <c r="K8" s="27" t="s">
        <v>100</v>
      </c>
      <c r="L8" s="31">
        <f>COUNTIF(I5:I100,"High")</f>
        <v>3</v>
      </c>
    </row>
    <row r="9" spans="2:12" s="19" customFormat="1" ht="51.6" customHeight="1" x14ac:dyDescent="0.3">
      <c r="B9" s="28">
        <v>5</v>
      </c>
      <c r="C9" s="30" t="s">
        <v>93</v>
      </c>
      <c r="D9" s="30" t="s">
        <v>94</v>
      </c>
      <c r="E9" s="32" t="s">
        <v>96</v>
      </c>
      <c r="F9" s="33" t="s">
        <v>78</v>
      </c>
      <c r="G9" s="28" t="s">
        <v>78</v>
      </c>
      <c r="H9" s="30" t="s">
        <v>76</v>
      </c>
      <c r="I9" s="30" t="s">
        <v>30</v>
      </c>
      <c r="J9" s="30" t="s">
        <v>95</v>
      </c>
      <c r="K9" s="30"/>
      <c r="L9" s="30"/>
    </row>
    <row r="10" spans="2:12" x14ac:dyDescent="0.3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2:12" x14ac:dyDescent="0.3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2:12" x14ac:dyDescent="0.3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</sheetData>
  <dataValidations count="2">
    <dataValidation type="list" allowBlank="1" showInputMessage="1" showErrorMessage="1" sqref="I1:I1048576" xr:uid="{0D0BD3F3-6C14-44C2-AB5B-F720A7D7E2C3}">
      <formula1>"High, Medium"</formula1>
    </dataValidation>
    <dataValidation type="list" allowBlank="1" showInputMessage="1" showErrorMessage="1" sqref="H1:H1048576" xr:uid="{C74352B5-FEE4-4669-B779-096218D66748}">
      <formula1>"Not Started, Preparing, Completed"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Study Planner</vt:lpstr>
      <vt:lpstr>Task Tracker</vt:lpstr>
      <vt:lpstr>Coding Tracker</vt:lpstr>
      <vt:lpstr>Placement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Ramineni Mahitha</dc:creator>
  <cp:lastModifiedBy>Ramineni Mahitha</cp:lastModifiedBy>
  <dcterms:created xsi:type="dcterms:W3CDTF">2026-10-14T11:30:00Z</dcterms:created>
  <dcterms:modified xsi:type="dcterms:W3CDTF">2026-10-24T15:16:11Z</dcterms:modified>
</cp:coreProperties>
</file>